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Submissions\"/>
    </mc:Choice>
  </mc:AlternateContent>
  <xr:revisionPtr revIDLastSave="0" documentId="8_{B04B328D-0393-45BC-BB13-20A88BA3EBEA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F16" i="16"/>
  <c r="E16" i="16"/>
  <c r="B16" i="16"/>
  <c r="D16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5" i="15"/>
</calcChain>
</file>

<file path=xl/sharedStrings.xml><?xml version="1.0" encoding="utf-8"?>
<sst xmlns="http://schemas.openxmlformats.org/spreadsheetml/2006/main" count="328" uniqueCount="182">
  <si>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</si>
  <si>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</si>
  <si>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</si>
  <si>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</si>
  <si>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</si>
  <si>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</si>
  <si>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</si>
  <si>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</si>
  <si>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</si>
  <si>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</si>
  <si>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</si>
  <si>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</si>
  <si>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</si>
  <si>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</si>
  <si>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</si>
  <si>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</si>
  <si>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</si>
  <si>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</si>
  <si>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</si>
  <si>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</si>
  <si>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</si>
  <si>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</si>
  <si>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</si>
  <si>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</si>
  <si>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</si>
  <si>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</si>
  <si>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</si>
  <si>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</si>
  <si>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</si>
  <si>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</si>
  <si>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</si>
  <si>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</si>
  <si>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</si>
  <si>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</si>
  <si>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</si>
  <si>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</si>
  <si>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</si>
  <si>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</si>
  <si>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</si>
  <si>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</si>
  <si>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</si>
  <si>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</si>
  <si>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</si>
  <si>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</si>
  <si>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</si>
  <si>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</si>
  <si>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</si>
  <si>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</si>
  <si>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</si>
  <si>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</si>
  <si>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</si>
  <si>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</si>
  <si>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</si>
  <si>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</si>
  <si>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</si>
  <si>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</si>
  <si>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</si>
  <si>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</si>
  <si>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</si>
  <si>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</si>
  <si>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</si>
  <si>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</si>
  <si>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</si>
  <si>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</si>
  <si>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</si>
  <si>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</si>
  <si>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</si>
  <si>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</si>
  <si>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</si>
  <si>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</si>
  <si>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</si>
  <si>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</si>
  <si>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</si>
  <si>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</si>
  <si>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</si>
  <si>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</si>
  <si>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</si>
  <si>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</si>
  <si>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</si>
  <si>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</si>
  <si>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</si>
  <si>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</si>
  <si>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</si>
  <si>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</si>
  <si>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</si>
  <si>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</si>
  <si>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</si>
  <si>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</si>
  <si>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</si>
  <si>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</si>
  <si>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</si>
  <si>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</si>
  <si>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</si>
  <si>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</si>
  <si>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</si>
  <si>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</si>
  <si>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</si>
  <si>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</si>
  <si>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</si>
  <si>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</si>
  <si>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</si>
  <si>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</si>
  <si>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</si>
  <si>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</si>
  <si>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</si>
  <si>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</si>
  <si>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</si>
  <si>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</si>
  <si>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</si>
  <si>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</si>
  <si>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</si>
  <si>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</si>
  <si>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</si>
  <si>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</si>
  <si>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</si>
  <si>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</si>
  <si>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</si>
  <si>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</si>
  <si>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</si>
  <si>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</si>
  <si>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</si>
  <si>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</si>
  <si>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</si>
  <si>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</si>
  <si>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</si>
  <si>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</si>
  <si>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</si>
  <si>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</si>
  <si>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</si>
  <si>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</si>
  <si>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</si>
  <si>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</si>
  <si>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</si>
  <si>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</si>
  <si>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</si>
  <si>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</si>
  <si>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</si>
  <si>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</si>
  <si>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</si>
  <si>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</si>
  <si>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</si>
  <si>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</si>
  <si>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</si>
  <si>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</si>
  <si>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</si>
  <si>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</si>
  <si>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</si>
  <si>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</si>
  <si>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</si>
  <si>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</si>
  <si>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</si>
  <si>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</si>
  <si>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</si>
  <si>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</si>
  <si>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</si>
  <si>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</si>
  <si>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</si>
  <si>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</si>
  <si>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</si>
  <si>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</si>
  <si>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</si>
  <si>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</si>
  <si>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</si>
  <si>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</si>
  <si>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</si>
  <si>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</si>
  <si>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</si>
  <si>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</si>
  <si>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</si>
  <si>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</si>
  <si>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</si>
  <si>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</si>
  <si>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</si>
  <si>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</si>
  <si>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</si>
  <si>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</si>
  <si>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</si>
  <si>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</si>
  <si>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sumif</t>
  </si>
  <si>
    <t>This formula uses the SUMIF function to sum only those cells in the range C12:C21 where the corresponding value is not an #N/A error. The "&lt;&gt;#N/A" condition ensures that only non-error values are considered in the sum.</t>
  </si>
  <si>
    <t>mid,search,trim,find,len and substitute</t>
  </si>
  <si>
    <t>combination of functions present in B5 have been used to complete the given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</si>
</sst>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5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S1" zoomScaleNormal="100" workbookViewId="0">
      <pane ySplit="1" topLeftCell="A2" activePane="bottomLeft" state="frozen"/>
      <selection activeCell="L1" sqref="L1"/>
      <selection pane="bottomLeft" activeCell="D11" sqref="D1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2" operator="equal">
      <formula>$J$2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104</v>
      </c>
      <c r="C5" s="32">
        <f>SUMIFS(Dataset!$H$2:$H$40, Dataset!$H$2:$H$40, "&gt;" &amp; 20)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C26" sqref="C2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INDEX(Dataset!$A$1:$X$40,MATCH($A6,Dataset!$A$1:$A$40,0),MATCH(B$5,Dataset!$A$1:$X$1,0))</f>
        <v>2.7</v>
      </c>
      <c r="C6" s="10">
        <f>INDEX(Dataset!$A$1:$X$40,MATCH($A6,Dataset!$A$1:$A$40,0),MATCH(C$5,Dataset!$A$1:$X$1,0))</f>
        <v>7.6</v>
      </c>
      <c r="D6" s="10">
        <f>INDEX(Dataset!$A$1:$X$40,MATCH($A6,Dataset!$A$1:$A$40,0),MATCH(D$5,Dataset!$A$1:$X$1,0))</f>
        <v>4.2</v>
      </c>
      <c r="E6" s="10">
        <f>INDEX(Dataset!$A$1:$X$40,MATCH($A6,Dataset!$A$1:$A$40,0),MATCH(E$5,Dataset!$A$1:$X$1,0))</f>
        <v>8.9</v>
      </c>
      <c r="F6" s="10">
        <f>INDEX(Dataset!$A$1:$X$40,MATCH($A6,Dataset!$A$1:$A$40,0),MATCH(F$5,Dataset!$A$1:$X$1,0))</f>
        <v>4.2</v>
      </c>
    </row>
    <row r="7" spans="1:7" ht="14.4" x14ac:dyDescent="0.3">
      <c r="A7" s="7" t="s">
        <v>4</v>
      </c>
      <c r="B7" s="10">
        <f>INDEX(Dataset!$A$1:$X$40,MATCH($A7,Dataset!$A$1:$A$40,0),MATCH(B$5,Dataset!$A$1:$X$1,0))</f>
        <v>2.7</v>
      </c>
      <c r="C7" s="10">
        <f>INDEX(Dataset!$A$1:$X$40,MATCH($A7,Dataset!$A$1:$A$40,0),MATCH(C$5,Dataset!$A$1:$X$1,0))</f>
        <v>7.6</v>
      </c>
      <c r="D7" s="10">
        <f>INDEX(Dataset!$A$1:$X$40,MATCH($A7,Dataset!$A$1:$A$40,0),MATCH(D$5,Dataset!$A$1:$X$1,0))</f>
        <v>4.2</v>
      </c>
      <c r="E7" s="10">
        <f>INDEX(Dataset!$A$1:$X$40,MATCH($A7,Dataset!$A$1:$A$40,0),MATCH(E$5,Dataset!$A$1:$X$1,0))</f>
        <v>8.9</v>
      </c>
      <c r="F7" s="10">
        <f>INDEX(Dataset!$A$1:$X$40,MATCH($A7,Dataset!$A$1:$A$40,0),MATCH(F$5,Dataset!$A$1:$X$1,0))</f>
        <v>4.2</v>
      </c>
    </row>
    <row r="8" spans="1:7" ht="14.4" x14ac:dyDescent="0.3">
      <c r="A8" s="7" t="s">
        <v>7</v>
      </c>
      <c r="B8" s="10">
        <f>INDEX(Dataset!$A$1:$X$40,MATCH($A8,Dataset!$A$1:$A$40,0),MATCH(B$5,Dataset!$A$1:$X$1,0))</f>
        <v>3.6</v>
      </c>
      <c r="C8" s="10">
        <f>INDEX(Dataset!$A$1:$X$40,MATCH($A8,Dataset!$A$1:$A$40,0),MATCH(C$5,Dataset!$A$1:$X$1,0))</f>
        <v>11.1</v>
      </c>
      <c r="D8" s="10">
        <f>INDEX(Dataset!$A$1:$X$40,MATCH($A8,Dataset!$A$1:$A$40,0),MATCH(D$5,Dataset!$A$1:$X$1,0))</f>
        <v>5.8</v>
      </c>
      <c r="E8" s="10">
        <f>INDEX(Dataset!$A$1:$X$40,MATCH($A8,Dataset!$A$1:$A$40,0),MATCH(E$5,Dataset!$A$1:$X$1,0))</f>
        <v>12.2</v>
      </c>
      <c r="F8" s="10">
        <f>INDEX(Dataset!$A$1:$X$40,MATCH($A8,Dataset!$A$1:$A$40,0),MATCH(F$5,Dataset!$A$1:$X$1,0))</f>
        <v>5.8</v>
      </c>
    </row>
    <row r="9" spans="1:7" ht="14.4" x14ac:dyDescent="0.3">
      <c r="A9" s="7" t="s">
        <v>8</v>
      </c>
      <c r="B9" s="10">
        <f>INDEX(Dataset!$A$1:$X$40,MATCH($A9,Dataset!$A$1:$A$40,0),MATCH(B$5,Dataset!$A$1:$X$1,0))</f>
        <v>4.9000000000000004</v>
      </c>
      <c r="C9" s="10">
        <f>INDEX(Dataset!$A$1:$X$40,MATCH($A9,Dataset!$A$1:$A$40,0),MATCH(C$5,Dataset!$A$1:$X$1,0))</f>
        <v>13.3</v>
      </c>
      <c r="D9" s="10">
        <f>INDEX(Dataset!$A$1:$X$40,MATCH($A9,Dataset!$A$1:$A$40,0),MATCH(D$5,Dataset!$A$1:$X$1,0))</f>
        <v>8.1</v>
      </c>
      <c r="E9" s="10">
        <f>INDEX(Dataset!$A$1:$X$40,MATCH($A9,Dataset!$A$1:$A$40,0),MATCH(E$5,Dataset!$A$1:$X$1,0))</f>
        <v>17</v>
      </c>
      <c r="F9" s="10">
        <f>INDEX(Dataset!$A$1:$X$40,MATCH($A9,Dataset!$A$1:$A$40,0),MATCH(F$5,Dataset!$A$1:$X$1,0))</f>
        <v>8.1</v>
      </c>
    </row>
    <row r="10" spans="1:7" ht="14.4" x14ac:dyDescent="0.3">
      <c r="A10" s="7" t="s">
        <v>11</v>
      </c>
      <c r="B10" s="10">
        <f>INDEX(Dataset!$A$1:$X$40,MATCH($A10,Dataset!$A$1:$A$40,0),MATCH(B$5,Dataset!$A$1:$X$1,0))</f>
        <v>9.4</v>
      </c>
      <c r="C10" s="10">
        <f>INDEX(Dataset!$A$1:$X$40,MATCH($A10,Dataset!$A$1:$A$40,0),MATCH(C$5,Dataset!$A$1:$X$1,0))</f>
        <v>28.3</v>
      </c>
      <c r="D10" s="10">
        <f>INDEX(Dataset!$A$1:$X$40,MATCH($A10,Dataset!$A$1:$A$40,0),MATCH(D$5,Dataset!$A$1:$X$1,0))</f>
        <v>16.100000000000001</v>
      </c>
      <c r="E10" s="10">
        <f>INDEX(Dataset!$A$1:$X$40,MATCH($A10,Dataset!$A$1:$A$40,0),MATCH(E$5,Dataset!$A$1:$X$1,0))</f>
        <v>32.799999999999997</v>
      </c>
      <c r="F10" s="10">
        <f>INDEX(Dataset!$A$1:$X$40,MATCH($A10,Dataset!$A$1:$A$40,0),MATCH(F$5,Dataset!$A$1:$X$1,0))</f>
        <v>16.100000000000001</v>
      </c>
    </row>
    <row r="11" spans="1:7" ht="14.4" x14ac:dyDescent="0.3">
      <c r="A11" s="7" t="s">
        <v>12</v>
      </c>
      <c r="B11" s="10">
        <f>INDEX(Dataset!$A$1:$X$40,MATCH($A11,Dataset!$A$1:$A$40,0),MATCH(B$5,Dataset!$A$1:$X$1,0))</f>
        <v>11.6</v>
      </c>
      <c r="C11" s="10">
        <f>INDEX(Dataset!$A$1:$X$40,MATCH($A11,Dataset!$A$1:$A$40,0),MATCH(C$5,Dataset!$A$1:$X$1,0))</f>
        <v>35.200000000000003</v>
      </c>
      <c r="D11" s="10">
        <f>INDEX(Dataset!$A$1:$X$40,MATCH($A11,Dataset!$A$1:$A$40,0),MATCH(D$5,Dataset!$A$1:$X$1,0))</f>
        <v>21.3</v>
      </c>
      <c r="E11" s="10">
        <f>INDEX(Dataset!$A$1:$X$40,MATCH($A11,Dataset!$A$1:$A$40,0),MATCH(E$5,Dataset!$A$1:$X$1,0))</f>
        <v>43</v>
      </c>
      <c r="F11" s="10">
        <f>INDEX(Dataset!$A$1:$X$40,MATCH($A11,Dataset!$A$1:$A$40,0),MATCH(F$5,Dataset!$A$1:$X$1,0))</f>
        <v>21.3</v>
      </c>
    </row>
    <row r="12" spans="1:7" ht="14.4" x14ac:dyDescent="0.3">
      <c r="A12" s="7" t="s">
        <v>14</v>
      </c>
      <c r="B12" s="10">
        <f>INDEX(Dataset!$A$1:$X$40,MATCH($A12,Dataset!$A$1:$A$40,0),MATCH(B$5,Dataset!$A$1:$X$1,0))</f>
        <v>18.399999999999999</v>
      </c>
      <c r="C12" s="10">
        <f>INDEX(Dataset!$A$1:$X$40,MATCH($A12,Dataset!$A$1:$A$40,0),MATCH(C$5,Dataset!$A$1:$X$1,0))</f>
        <v>55.6</v>
      </c>
      <c r="D12" s="10">
        <f>INDEX(Dataset!$A$1:$X$40,MATCH($A12,Dataset!$A$1:$A$40,0),MATCH(D$5,Dataset!$A$1:$X$1,0))</f>
        <v>33.799999999999997</v>
      </c>
      <c r="E12" s="10">
        <f>INDEX(Dataset!$A$1:$X$40,MATCH($A12,Dataset!$A$1:$A$40,0),MATCH(E$5,Dataset!$A$1:$X$1,0))</f>
        <v>67.900000000000006</v>
      </c>
      <c r="F12" s="10">
        <f>INDEX(Dataset!$A$1:$X$40,MATCH($A12,Dataset!$A$1:$A$40,0),MATCH(F$5,Dataset!$A$1:$X$1,0))</f>
        <v>33.799999999999997</v>
      </c>
    </row>
    <row r="13" spans="1:7" ht="14.4" x14ac:dyDescent="0.3">
      <c r="A13" s="7" t="s">
        <v>15</v>
      </c>
      <c r="B13" s="10">
        <f>INDEX(Dataset!$A$1:$X$40,MATCH($A13,Dataset!$A$1:$A$40,0),MATCH(B$5,Dataset!$A$1:$X$1,0))</f>
        <v>0</v>
      </c>
      <c r="C13" s="10">
        <f>INDEX(Dataset!$A$1:$X$40,MATCH($A13,Dataset!$A$1:$A$40,0),MATCH(C$5,Dataset!$A$1:$X$1,0))</f>
        <v>0</v>
      </c>
      <c r="D13" s="10">
        <f>INDEX(Dataset!$A$1:$X$40,MATCH($A13,Dataset!$A$1:$A$40,0),MATCH(D$5,Dataset!$A$1:$X$1,0))</f>
        <v>0</v>
      </c>
      <c r="E13" s="10">
        <f>INDEX(Dataset!$A$1:$X$40,MATCH($A13,Dataset!$A$1:$A$40,0),MATCH(E$5,Dataset!$A$1:$X$1,0))</f>
        <v>0</v>
      </c>
      <c r="F13" s="10">
        <f>INDEX(Dataset!$A$1:$X$40,MATCH($A13,Dataset!$A$1:$A$40,0),MATCH(F$5,Dataset!$A$1:$X$1,0))</f>
        <v>0</v>
      </c>
    </row>
    <row r="14" spans="1:7" ht="14.4" x14ac:dyDescent="0.3">
      <c r="A14" s="7" t="s">
        <v>16</v>
      </c>
      <c r="B14" s="10">
        <f>INDEX(Dataset!$A$1:$X$40,MATCH($A14,Dataset!$A$1:$A$40,0),MATCH(B$5,Dataset!$A$1:$X$1,0))</f>
        <v>21.9</v>
      </c>
      <c r="C14" s="10">
        <f>INDEX(Dataset!$A$1:$X$40,MATCH($A14,Dataset!$A$1:$A$40,0),MATCH(C$5,Dataset!$A$1:$X$1,0))</f>
        <v>61.5</v>
      </c>
      <c r="D14" s="10">
        <f>INDEX(Dataset!$A$1:$X$40,MATCH($A14,Dataset!$A$1:$A$40,0),MATCH(D$5,Dataset!$A$1:$X$1,0))</f>
        <v>40.1</v>
      </c>
      <c r="E14" s="10">
        <f>INDEX(Dataset!$A$1:$X$40,MATCH($A14,Dataset!$A$1:$A$40,0),MATCH(E$5,Dataset!$A$1:$X$1,0))</f>
        <v>76.599999999999994</v>
      </c>
      <c r="F14" s="10">
        <f>INDEX(Dataset!$A$1:$X$40,MATCH($A14,Dataset!$A$1:$A$40,0),MATCH(F$5,Dataset!$A$1:$X$1,0))</f>
        <v>40.1</v>
      </c>
    </row>
    <row r="15" spans="1:7" ht="14.4" x14ac:dyDescent="0.3">
      <c r="A15" s="7" t="s">
        <v>18</v>
      </c>
      <c r="B15" s="10">
        <f>INDEX(Dataset!$A$1:$X$40,MATCH($A15,Dataset!$A$1:$A$40,0),MATCH(B$5,Dataset!$A$1:$X$1,0))</f>
        <v>26.8</v>
      </c>
      <c r="C15" s="10">
        <f>INDEX(Dataset!$A$1:$X$40,MATCH($A15,Dataset!$A$1:$A$40,0),MATCH(C$5,Dataset!$A$1:$X$1,0))</f>
        <v>79.599999999999994</v>
      </c>
      <c r="D15" s="10">
        <f>INDEX(Dataset!$A$1:$X$40,MATCH($A15,Dataset!$A$1:$A$40,0),MATCH(D$5,Dataset!$A$1:$X$1,0))</f>
        <v>47.9</v>
      </c>
      <c r="E15" s="10">
        <f>INDEX(Dataset!$A$1:$X$40,MATCH($A15,Dataset!$A$1:$A$40,0),MATCH(E$5,Dataset!$A$1:$X$1,0))</f>
        <v>96.8</v>
      </c>
      <c r="F15" s="10">
        <f>INDEX(Dataset!$A$1:$X$40,MATCH($A15,Dataset!$A$1:$A$40,0),MATCH(F$5,Dataset!$A$1:$X$1,0))</f>
        <v>47.9</v>
      </c>
    </row>
    <row r="16" spans="1:7" ht="14.4" x14ac:dyDescent="0.3">
      <c r="A16" s="7" t="s">
        <v>20</v>
      </c>
      <c r="B16" s="10">
        <f>INDEX(Dataset!$A$1:$X$40,MATCH($A16,Dataset!$A$1:$A$40,0),MATCH(B$5,Dataset!$A$1:$X$1,0))</f>
        <v>28.5</v>
      </c>
      <c r="C16" s="10">
        <f>INDEX(Dataset!$A$1:$X$40,MATCH($A16,Dataset!$A$1:$A$40,0),MATCH(C$5,Dataset!$A$1:$X$1,0))</f>
        <v>85.4</v>
      </c>
      <c r="D16" s="10">
        <f>INDEX(Dataset!$A$1:$X$40,MATCH($A16,Dataset!$A$1:$A$40,0),MATCH(D$5,Dataset!$A$1:$X$1,0))</f>
        <v>52.3</v>
      </c>
      <c r="E16" s="10">
        <f>INDEX(Dataset!$A$1:$X$40,MATCH($A16,Dataset!$A$1:$A$40,0),MATCH(E$5,Dataset!$A$1:$X$1,0))</f>
        <v>106.1</v>
      </c>
      <c r="F16" s="10">
        <f>INDEX(Dataset!$A$1:$X$40,MATCH($A16,Dataset!$A$1:$A$40,0),MATCH(F$5,Dataset!$A$1:$X$1,0))</f>
        <v>52.3</v>
      </c>
    </row>
    <row r="17" spans="1:6" ht="14.4" x14ac:dyDescent="0.3">
      <c r="A17" s="7" t="s">
        <v>22</v>
      </c>
      <c r="B17" s="10">
        <f>INDEX(Dataset!$A$1:$X$40,MATCH($A17,Dataset!$A$1:$A$40,0),MATCH(B$5,Dataset!$A$1:$X$1,0))</f>
        <v>30.7</v>
      </c>
      <c r="C17" s="10">
        <f>INDEX(Dataset!$A$1:$X$40,MATCH($A17,Dataset!$A$1:$A$40,0),MATCH(C$5,Dataset!$A$1:$X$1,0))</f>
        <v>92.1</v>
      </c>
      <c r="D17" s="10">
        <f>INDEX(Dataset!$A$1:$X$40,MATCH($A17,Dataset!$A$1:$A$40,0),MATCH(D$5,Dataset!$A$1:$X$1,0))</f>
        <v>57</v>
      </c>
      <c r="E17" s="10">
        <f>INDEX(Dataset!$A$1:$X$40,MATCH($A17,Dataset!$A$1:$A$40,0),MATCH(E$5,Dataset!$A$1:$X$1,0))</f>
        <v>115.1</v>
      </c>
      <c r="F17" s="10">
        <f>INDEX(Dataset!$A$1:$X$40,MATCH($A17,Dataset!$A$1:$A$40,0),MATCH(F$5,Dataset!$A$1:$X$1,0))</f>
        <v>57</v>
      </c>
    </row>
    <row r="18" spans="1:6" ht="14.4" x14ac:dyDescent="0.3">
      <c r="A18" s="7" t="s">
        <v>23</v>
      </c>
      <c r="B18" s="10">
        <f>INDEX(Dataset!$A$1:$X$40,MATCH($A18,Dataset!$A$1:$A$40,0),MATCH(B$5,Dataset!$A$1:$X$1,0))</f>
        <v>33.799999999999997</v>
      </c>
      <c r="C18" s="10">
        <f>INDEX(Dataset!$A$1:$X$40,MATCH($A18,Dataset!$A$1:$A$40,0),MATCH(C$5,Dataset!$A$1:$X$1,0))</f>
        <v>101.3</v>
      </c>
      <c r="D18" s="10">
        <f>INDEX(Dataset!$A$1:$X$40,MATCH($A18,Dataset!$A$1:$A$40,0),MATCH(D$5,Dataset!$A$1:$X$1,0))</f>
        <v>61.4</v>
      </c>
      <c r="E18" s="10">
        <f>INDEX(Dataset!$A$1:$X$40,MATCH($A18,Dataset!$A$1:$A$40,0),MATCH(E$5,Dataset!$A$1:$X$1,0))</f>
        <v>124.4</v>
      </c>
      <c r="F18" s="10">
        <f>INDEX(Dataset!$A$1:$X$40,MATCH($A18,Dataset!$A$1:$A$40,0),MATCH(F$5,Dataset!$A$1:$X$1,0))</f>
        <v>61.4</v>
      </c>
    </row>
    <row r="19" spans="1:6" ht="14.4" x14ac:dyDescent="0.3">
      <c r="A19" s="7" t="s">
        <v>24</v>
      </c>
      <c r="B19" s="10">
        <f>INDEX(Dataset!$A$1:$X$40,MATCH($A19,Dataset!$A$1:$A$40,0),MATCH(B$5,Dataset!$A$1:$X$1,0))</f>
        <v>34.700000000000003</v>
      </c>
      <c r="C19" s="10">
        <f>INDEX(Dataset!$A$1:$X$40,MATCH($A19,Dataset!$A$1:$A$40,0),MATCH(C$5,Dataset!$A$1:$X$1,0))</f>
        <v>106.1</v>
      </c>
      <c r="D19" s="10">
        <f>INDEX(Dataset!$A$1:$X$40,MATCH($A19,Dataset!$A$1:$A$40,0),MATCH(D$5,Dataset!$A$1:$X$1,0))</f>
        <v>63.6</v>
      </c>
      <c r="E19" s="10">
        <f>INDEX(Dataset!$A$1:$X$40,MATCH($A19,Dataset!$A$1:$A$40,0),MATCH(E$5,Dataset!$A$1:$X$1,0))</f>
        <v>128.6</v>
      </c>
      <c r="F19" s="10">
        <f>INDEX(Dataset!$A$1:$X$40,MATCH($A19,Dataset!$A$1:$A$40,0),MATCH(F$5,Dataset!$A$1:$X$1,0))</f>
        <v>63.6</v>
      </c>
    </row>
    <row r="20" spans="1:6" ht="14.4" x14ac:dyDescent="0.3">
      <c r="A20" s="7" t="s">
        <v>28</v>
      </c>
      <c r="B20" s="10">
        <f>INDEX(Dataset!$A$1:$X$40,MATCH($A20,Dataset!$A$1:$A$40,0),MATCH(B$5,Dataset!$A$1:$X$1,0))</f>
        <v>0</v>
      </c>
      <c r="C20" s="10">
        <f>INDEX(Dataset!$A$1:$X$40,MATCH($A20,Dataset!$A$1:$A$40,0),MATCH(C$5,Dataset!$A$1:$X$1,0))</f>
        <v>0</v>
      </c>
      <c r="D20" s="10">
        <f>INDEX(Dataset!$A$1:$X$40,MATCH($A20,Dataset!$A$1:$A$40,0),MATCH(D$5,Dataset!$A$1:$X$1,0))</f>
        <v>0</v>
      </c>
      <c r="E20" s="10">
        <f>INDEX(Dataset!$A$1:$X$40,MATCH($A20,Dataset!$A$1:$A$40,0),MATCH(E$5,Dataset!$A$1:$X$1,0))</f>
        <v>0</v>
      </c>
      <c r="F20" s="10">
        <f>INDEX(Dataset!$A$1:$X$40,MATCH($A20,Dataset!$A$1:$A$40,0),MATCH(F$5,Dataset!$A$1:$X$1,0))</f>
        <v>0</v>
      </c>
    </row>
    <row r="21" spans="1:6" ht="14.4" x14ac:dyDescent="0.3">
      <c r="A21" s="7" t="s">
        <v>57</v>
      </c>
      <c r="B21" s="10">
        <f>INDEX(Dataset!$A$1:$X$40,MATCH($A21,Dataset!$A$1:$A$40,0),MATCH(B$5,Dataset!$A$1:$X$1,0))</f>
        <v>41.3</v>
      </c>
      <c r="C21" s="10">
        <f>INDEX(Dataset!$A$1:$X$40,MATCH($A21,Dataset!$A$1:$A$40,0),MATCH(C$5,Dataset!$A$1:$X$1,0))</f>
        <v>124.4</v>
      </c>
      <c r="D21" s="10">
        <f>INDEX(Dataset!$A$1:$X$40,MATCH($A21,Dataset!$A$1:$A$40,0),MATCH(D$5,Dataset!$A$1:$X$1,0))</f>
        <v>75</v>
      </c>
      <c r="E21" s="10">
        <f>INDEX(Dataset!$A$1:$X$40,MATCH($A21,Dataset!$A$1:$A$40,0),MATCH(E$5,Dataset!$A$1:$X$1,0))</f>
        <v>151.5</v>
      </c>
      <c r="F21" s="10">
        <f>INDEX(Dataset!$A$1:$X$40,MATCH($A21,Dataset!$A$1:$A$40,0),MATCH(F$5,Dataset!$A$1:$X$1,0))</f>
        <v>75</v>
      </c>
    </row>
    <row r="22" spans="1:6" ht="14.4" x14ac:dyDescent="0.3">
      <c r="A22" s="7" t="s">
        <v>58</v>
      </c>
      <c r="B22" s="10">
        <f>INDEX(Dataset!$A$1:$X$40,MATCH($A22,Dataset!$A$1:$A$40,0),MATCH(B$5,Dataset!$A$1:$X$1,0))</f>
        <v>-1</v>
      </c>
      <c r="C22" s="10">
        <f>INDEX(Dataset!$A$1:$X$40,MATCH($A22,Dataset!$A$1:$A$40,0),MATCH(C$5,Dataset!$A$1:$X$1,0))</f>
        <v>-1</v>
      </c>
      <c r="D22" s="10">
        <f>INDEX(Dataset!$A$1:$X$40,MATCH($A22,Dataset!$A$1:$A$40,0),MATCH(D$5,Dataset!$A$1:$X$1,0))</f>
        <v>-1</v>
      </c>
      <c r="E22" s="10">
        <f>INDEX(Dataset!$A$1:$X$40,MATCH($A22,Dataset!$A$1:$A$40,0),MATCH(E$5,Dataset!$A$1:$X$1,0))</f>
        <v>-1</v>
      </c>
      <c r="F22" s="10">
        <f>INDEX(Dataset!$A$1:$X$40,MATCH($A22,Dataset!$A$1:$A$40,0),MATCH(F$5,Dataset!$A$1:$X$1,0))</f>
        <v>-1</v>
      </c>
    </row>
    <row r="23" spans="1:6" ht="14.4" x14ac:dyDescent="0.3">
      <c r="A23" s="7" t="s">
        <v>31</v>
      </c>
      <c r="B23" s="10">
        <f>INDEX(Dataset!$A$1:$X$40,MATCH($A23,Dataset!$A$1:$A$40,0),MATCH(B$5,Dataset!$A$1:$X$1,0))</f>
        <v>45</v>
      </c>
      <c r="C23" s="10">
        <f>INDEX(Dataset!$A$1:$X$40,MATCH($A23,Dataset!$A$1:$A$40,0),MATCH(C$5,Dataset!$A$1:$X$1,0))</f>
        <v>133.4</v>
      </c>
      <c r="D23" s="10">
        <f>INDEX(Dataset!$A$1:$X$40,MATCH($A23,Dataset!$A$1:$A$40,0),MATCH(D$5,Dataset!$A$1:$X$1,0))</f>
        <v>79.400000000000006</v>
      </c>
      <c r="E23" s="10">
        <f>INDEX(Dataset!$A$1:$X$40,MATCH($A23,Dataset!$A$1:$A$40,0),MATCH(E$5,Dataset!$A$1:$X$1,0))</f>
        <v>160.9</v>
      </c>
      <c r="F23" s="10">
        <f>INDEX(Dataset!$A$1:$X$40,MATCH($A23,Dataset!$A$1:$A$40,0),MATCH(F$5,Dataset!$A$1:$X$1,0))</f>
        <v>79.400000000000006</v>
      </c>
    </row>
    <row r="24" spans="1:6" ht="14.4" x14ac:dyDescent="0.3">
      <c r="A24" s="7" t="s">
        <v>32</v>
      </c>
      <c r="B24" s="10">
        <f>INDEX(Dataset!$A$1:$X$40,MATCH($A24,Dataset!$A$1:$A$40,0),MATCH(B$5,Dataset!$A$1:$X$1,0))</f>
        <v>-1</v>
      </c>
      <c r="C24" s="10">
        <f>INDEX(Dataset!$A$1:$X$40,MATCH($A24,Dataset!$A$1:$A$40,0),MATCH(C$5,Dataset!$A$1:$X$1,0))</f>
        <v>-1</v>
      </c>
      <c r="D24" s="10">
        <f>INDEX(Dataset!$A$1:$X$40,MATCH($A24,Dataset!$A$1:$A$40,0),MATCH(D$5,Dataset!$A$1:$X$1,0))</f>
        <v>-1</v>
      </c>
      <c r="E24" s="10">
        <f>INDEX(Dataset!$A$1:$X$40,MATCH($A24,Dataset!$A$1:$A$40,0),MATCH(E$5,Dataset!$A$1:$X$1,0))</f>
        <v>-1</v>
      </c>
      <c r="F24" s="10">
        <f>INDEX(Dataset!$A$1:$X$40,MATCH($A24,Dataset!$A$1:$A$40,0),MATCH(F$5,Dataset!$A$1:$X$1,0))</f>
        <v>-1</v>
      </c>
    </row>
    <row r="25" spans="1:6" ht="14.4" x14ac:dyDescent="0.3">
      <c r="A25" s="7" t="s">
        <v>34</v>
      </c>
      <c r="B25" s="10">
        <f>INDEX(Dataset!$A$1:$X$40,MATCH($A25,Dataset!$A$1:$A$40,0),MATCH(B$5,Dataset!$A$1:$X$1,0))</f>
        <v>43.3</v>
      </c>
      <c r="C25" s="10">
        <f>INDEX(Dataset!$A$1:$X$40,MATCH($A25,Dataset!$A$1:$A$40,0),MATCH(C$5,Dataset!$A$1:$X$1,0))</f>
        <v>128.6</v>
      </c>
      <c r="D25" s="10">
        <f>INDEX(Dataset!$A$1:$X$40,MATCH($A25,Dataset!$A$1:$A$40,0),MATCH(D$5,Dataset!$A$1:$X$1,0))</f>
        <v>79.400000000000006</v>
      </c>
      <c r="E25" s="10">
        <f>INDEX(Dataset!$A$1:$X$40,MATCH($A25,Dataset!$A$1:$A$40,0),MATCH(E$5,Dataset!$A$1:$X$1,0))</f>
        <v>160.9</v>
      </c>
      <c r="F25" s="10">
        <f>INDEX(Dataset!$A$1:$X$40,MATCH($A25,Dataset!$A$1:$A$40,0),MATCH(F$5,Dataset!$A$1:$X$1,0))</f>
        <v>79.400000000000006</v>
      </c>
    </row>
    <row r="26" spans="1:6" ht="14.4" x14ac:dyDescent="0.3">
      <c r="A26" s="7" t="s">
        <v>37</v>
      </c>
      <c r="B26" s="10">
        <f>INDEX(Dataset!$A$1:$X$40,MATCH($A26,Dataset!$A$1:$A$40,0),MATCH(B$5,Dataset!$A$1:$X$1,0))</f>
        <v>49.1</v>
      </c>
      <c r="C26" s="10">
        <f>INDEX(Dataset!$A$1:$X$40,MATCH($A26,Dataset!$A$1:$A$40,0),MATCH(C$5,Dataset!$A$1:$X$1,0))</f>
        <v>146.80000000000001</v>
      </c>
      <c r="D26" s="10">
        <f>INDEX(Dataset!$A$1:$X$40,MATCH($A26,Dataset!$A$1:$A$40,0),MATCH(D$5,Dataset!$A$1:$X$1,0))</f>
        <v>90.9</v>
      </c>
      <c r="E26" s="10">
        <f>INDEX(Dataset!$A$1:$X$40,MATCH($A26,Dataset!$A$1:$A$40,0),MATCH(E$5,Dataset!$A$1:$X$1,0))</f>
        <v>183.5</v>
      </c>
      <c r="F26" s="10">
        <f>INDEX(Dataset!$A$1:$X$40,MATCH($A26,Dataset!$A$1:$A$40,0),MATCH(F$5,Dataset!$A$1:$X$1,0))</f>
        <v>90.9</v>
      </c>
    </row>
    <row r="27" spans="1:6" ht="14.4" x14ac:dyDescent="0.3">
      <c r="A27" s="7" t="s">
        <v>39</v>
      </c>
      <c r="B27" s="10">
        <f>INDEX(Dataset!$A$1:$X$40,MATCH($A27,Dataset!$A$1:$A$40,0),MATCH(B$5,Dataset!$A$1:$X$1,0))</f>
        <v>51.8</v>
      </c>
      <c r="C27" s="10">
        <f>INDEX(Dataset!$A$1:$X$40,MATCH($A27,Dataset!$A$1:$A$40,0),MATCH(C$5,Dataset!$A$1:$X$1,0))</f>
        <v>156.4</v>
      </c>
      <c r="D27" s="10">
        <f>INDEX(Dataset!$A$1:$X$40,MATCH($A27,Dataset!$A$1:$A$40,0),MATCH(D$5,Dataset!$A$1:$X$1,0))</f>
        <v>93.1</v>
      </c>
      <c r="E27" s="10">
        <f>INDEX(Dataset!$A$1:$X$40,MATCH($A27,Dataset!$A$1:$A$40,0),MATCH(E$5,Dataset!$A$1:$X$1,0))</f>
        <v>188.1</v>
      </c>
      <c r="F27" s="10">
        <f>INDEX(Dataset!$A$1:$X$40,MATCH($A27,Dataset!$A$1:$A$40,0),MATCH(F$5,Dataset!$A$1:$X$1,0))</f>
        <v>93.1</v>
      </c>
    </row>
    <row r="28" spans="1:6" ht="14.4" x14ac:dyDescent="0.3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4.4" x14ac:dyDescent="0.3">
      <c r="A29" s="17" t="s">
        <v>83</v>
      </c>
      <c r="B29" s="29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4.4" x14ac:dyDescent="0.3">
      <c r="A30" s="17" t="s">
        <v>84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7" sqref="B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 t="s">
        <v>180</v>
      </c>
    </row>
    <row r="6" spans="1:10" ht="18" x14ac:dyDescent="0.35">
      <c r="A6" s="41" t="s">
        <v>153</v>
      </c>
      <c r="B6" s="38" t="s">
        <v>181</v>
      </c>
    </row>
    <row r="7" spans="1:10" ht="18" x14ac:dyDescent="0.35">
      <c r="A7" s="41"/>
      <c r="B7" s="38"/>
    </row>
    <row r="9" spans="1:10" ht="23.4" x14ac:dyDescent="0.45">
      <c r="A9" s="16" t="s">
        <v>165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121</v>
      </c>
      <c r="B16" s="10" t="str">
        <f>LEFT($A16, SEARCH("-", $A16) - 1)</f>
        <v>20000</v>
      </c>
      <c r="C16" s="1" t="str">
        <f>MID($A16, SEARCH("-", $A16) + 1, SEARCH("-", MID($A16, SEARCH("-", $A16) + 1, LEN($A16))) - 1)</f>
        <v>Monday</v>
      </c>
      <c r="D16" s="10" t="str">
        <f>TRIM(MID(SUBSTITUTE($A16, "-", REPT(" ", LEN($A16))), LEN($A16)*2+1, LEN($A16)))</f>
        <v>0</v>
      </c>
      <c r="E16" s="1" t="str">
        <f>MID($A16, FIND("-", $A16, FIND("-", $A16, FIND("-", $A16) + 1) + 1) + 1, FIND("-", $A16, FIND("-", $A16, FIND("-", $A16, FIND("-", $A16) + 1) + 1) + 1) - FIND("-", $A16, FIND("-", $A16, FIND("-", $A16) + 1) + 1) - 1)</f>
        <v>Sunday</v>
      </c>
      <c r="F16" s="10" t="str">
        <f>MID($A16, FIND("-", $A16, FIND("-", $A16, FIND("-", $A16, FIND("-", $A16) + 1) + 1) + 1) + 1, LEN($A16) - FIND("-", $A16, FIND("-", $A16, FIND("-", $A16, FIND("-", $A16) + 1) + 1) + 1))</f>
        <v>24</v>
      </c>
    </row>
    <row r="17" spans="1:6" x14ac:dyDescent="0.3">
      <c r="A17" s="7" t="s">
        <v>122</v>
      </c>
      <c r="B17" s="10" t="str">
        <f t="shared" ref="B17:B54" si="0">LEFT($A17, SEARCH("-", $A17) - 1)</f>
        <v>20002</v>
      </c>
      <c r="C17" s="1" t="str">
        <f t="shared" ref="C17:C54" si="1">MID($A17, SEARCH("-", $A17) + 1, SEARCH("-", MID($A17, SEARCH("-", $A17) + 1, LEN($A17))) - 1)</f>
        <v>Monday</v>
      </c>
      <c r="D17" s="10" t="str">
        <f t="shared" ref="D17:D54" si="2">TRIM(MID(SUBSTITUTE($A17, "-", REPT(" ", LEN($A17))), LEN($A17)*2+1, LEN($A17)))</f>
        <v>0</v>
      </c>
      <c r="E17" s="1" t="str">
        <f t="shared" ref="E17:E54" si="3">MID($A17, FIND("-", $A17, FIND("-", $A17, FIND("-", $A17) + 1) + 1) + 1, FIND("-", $A17, FIND("-", $A17, FIND("-", $A17, FIND("-", $A17) + 1) + 1) + 1) - FIND("-", $A17, FIND("-", $A17, FIND("-", $A17) + 1) + 1) - 1)</f>
        <v>Sunday</v>
      </c>
      <c r="F17" s="10" t="str">
        <f t="shared" ref="F17:F54" si="4">MID($A17, FIND("-", $A17, FIND("-", $A17, FIND("-", $A17, FIND("-", $A17) + 1) + 1) + 1) + 1, LEN($A17) - FIND("-", $A17, FIND("-", $A17, FIND("-", $A17, FIND("-", $A17) + 1) + 1) + 1))</f>
        <v>24</v>
      </c>
    </row>
    <row r="18" spans="1:6" x14ac:dyDescent="0.3">
      <c r="A18" s="7" t="s">
        <v>123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">
      <c r="A19" s="7" t="s">
        <v>124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">
      <c r="A20" s="7" t="s">
        <v>125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">
      <c r="A21" s="7" t="s">
        <v>126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">
      <c r="A22" s="7" t="s">
        <v>127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">
      <c r="A23" s="7" t="s">
        <v>128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">
      <c r="A24" s="7" t="s">
        <v>129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">
      <c r="A25" s="7" t="s">
        <v>130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">
      <c r="A26" s="7" t="s">
        <v>131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">
      <c r="A27" s="7" t="s">
        <v>132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">
      <c r="A28" s="7" t="s">
        <v>133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">
      <c r="A29" s="7" t="s">
        <v>134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">
      <c r="A30" s="7" t="s">
        <v>135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">
      <c r="A31" s="7" t="s">
        <v>136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">
      <c r="A32" s="7" t="s">
        <v>137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">
      <c r="A33" s="7" t="s">
        <v>138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">
      <c r="A34" s="7" t="s">
        <v>139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">
      <c r="A35" s="7" t="s">
        <v>140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">
      <c r="A36" s="7" t="s">
        <v>141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">
      <c r="A37" s="7" t="s">
        <v>142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">
      <c r="A38" s="7" t="s">
        <v>143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">
      <c r="A39" s="7" t="s">
        <v>144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">
      <c r="A40" s="7" t="s">
        <v>145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">
      <c r="A41" s="7" t="s">
        <v>146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">
      <c r="A42" s="7" t="s">
        <v>147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">
      <c r="A43" s="7" t="s">
        <v>148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">
      <c r="A44" s="7" t="s">
        <v>149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">
      <c r="A45" s="7" t="s">
        <v>150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">
      <c r="A46" s="7" t="s">
        <v>112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">
      <c r="A47" s="7" t="s">
        <v>113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">
      <c r="A48" s="7" t="s">
        <v>114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">
      <c r="A49" s="7" t="s">
        <v>115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">
      <c r="A50" s="7" t="s">
        <v>116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">
      <c r="A51" s="7" t="s">
        <v>117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">
      <c r="A52" s="7" t="s">
        <v>118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">
      <c r="A53" s="7" t="s">
        <v>119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">
      <c r="A54" s="8" t="s">
        <v>120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5" zoomScaleNormal="100" workbookViewId="0">
      <selection activeCell="A35" sqref="A3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6" t="s">
        <v>162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 t="e">
        <v>#N/A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 t="e">
        <v>#N/A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154</v>
      </c>
      <c r="C17" s="15">
        <v>150</v>
      </c>
    </row>
    <row r="18" spans="1:3" ht="14.4" x14ac:dyDescent="0.3">
      <c r="A18" s="30">
        <v>44933</v>
      </c>
      <c r="B18" s="15" t="s">
        <v>155</v>
      </c>
      <c r="C18" s="15">
        <v>80</v>
      </c>
    </row>
    <row r="19" spans="1:3" ht="14.4" x14ac:dyDescent="0.3">
      <c r="A19" s="30">
        <v>44934</v>
      </c>
      <c r="B19" s="15" t="s">
        <v>156</v>
      </c>
      <c r="C19" s="15" t="e">
        <v>#N/A</v>
      </c>
    </row>
    <row r="20" spans="1:3" ht="14.4" x14ac:dyDescent="0.3">
      <c r="A20" s="30">
        <v>44935</v>
      </c>
      <c r="B20" s="15" t="s">
        <v>157</v>
      </c>
      <c r="C20" s="15">
        <v>30</v>
      </c>
    </row>
    <row r="21" spans="1:3" ht="14.4" x14ac:dyDescent="0.3">
      <c r="A21" s="30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>
        <f>SUMIF(C12:C21, "&lt;&gt;#N/A")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2"/>
    </row>
    <row r="24" spans="1:14" ht="14.4" x14ac:dyDescent="0.3">
      <c r="A24" s="7">
        <v>10100</v>
      </c>
      <c r="B24" s="10">
        <v>10104</v>
      </c>
      <c r="C24" s="42"/>
    </row>
    <row r="25" spans="1:14" ht="14.4" x14ac:dyDescent="0.3">
      <c r="A25" s="7">
        <v>10108</v>
      </c>
      <c r="B25" s="10">
        <v>10102</v>
      </c>
      <c r="C25" s="42"/>
    </row>
    <row r="26" spans="1:14" ht="14.4" x14ac:dyDescent="0.3">
      <c r="A26" s="7">
        <v>10100</v>
      </c>
      <c r="B26" s="10">
        <v>10106</v>
      </c>
      <c r="C26" s="42"/>
    </row>
    <row r="27" spans="1:14" ht="14.4" x14ac:dyDescent="0.3">
      <c r="A27" s="7">
        <v>10108</v>
      </c>
      <c r="B27" s="10">
        <v>10110</v>
      </c>
      <c r="C27" s="42"/>
    </row>
    <row r="28" spans="1:14" ht="14.4" x14ac:dyDescent="0.3">
      <c r="A28" s="7">
        <v>10102</v>
      </c>
      <c r="B28" s="10">
        <v>10104</v>
      </c>
      <c r="C28" s="42"/>
    </row>
    <row r="29" spans="1:14" ht="14.4" x14ac:dyDescent="0.3">
      <c r="A29" s="7">
        <v>10106</v>
      </c>
      <c r="B29" s="10">
        <v>10108</v>
      </c>
      <c r="C29" s="42"/>
    </row>
    <row r="30" spans="1:14" ht="14.4" x14ac:dyDescent="0.3">
      <c r="A30" s="7">
        <v>10102</v>
      </c>
      <c r="B30" s="10">
        <v>10106</v>
      </c>
      <c r="C30" s="42"/>
    </row>
    <row r="31" spans="1:14" ht="14.4" x14ac:dyDescent="0.3">
      <c r="A31" s="7">
        <v>10110</v>
      </c>
      <c r="B31" s="10">
        <v>10114</v>
      </c>
      <c r="C31" s="42"/>
    </row>
    <row r="32" spans="1:14" ht="14.4" x14ac:dyDescent="0.3">
      <c r="A32" s="7">
        <v>10104</v>
      </c>
      <c r="B32" s="10">
        <v>10106</v>
      </c>
      <c r="C32" s="42"/>
    </row>
    <row r="33" spans="1:3" ht="14.4" x14ac:dyDescent="0.3">
      <c r="A33" s="7">
        <v>10110</v>
      </c>
      <c r="B33" s="10">
        <v>10112</v>
      </c>
      <c r="C33" s="42"/>
    </row>
    <row r="34" spans="1:3" ht="14.4" x14ac:dyDescent="0.3">
      <c r="A34" s="7">
        <v>10100</v>
      </c>
      <c r="B34" s="10">
        <v>10114</v>
      </c>
      <c r="C34" s="42"/>
    </row>
    <row r="35" spans="1:3" ht="14.4" x14ac:dyDescent="0.3">
      <c r="A35" s="8">
        <v>10112</v>
      </c>
      <c r="B35" s="11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jatin arya</cp:lastModifiedBy>
  <dcterms:created xsi:type="dcterms:W3CDTF">2015-02-10T17:33:11Z</dcterms:created>
  <dcterms:modified xsi:type="dcterms:W3CDTF">2023-12-11T19:11:10Z</dcterms:modified>
</cp:coreProperties>
</file>